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Legend (Read Me)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<sst xmlns="http://schemas.openxmlformats.org/spreadsheetml/2006/main" count="189" uniqueCount="175">
  <si>
    <t xml:space="preserve">2026 CONSOLIDATED COMPETENCY-BASED LEARNING &amp; DEVELOPMENT INTERVENTIONS (CapDev) — SAMPLE REPLICA</t>
  </si>
  <si>
    <t xml:space="preserve">To be filled out by HRDO</t>
  </si>
  <si>
    <t xml:space="preserve">CAPACITY DEVELOPMENT</t>
  </si>
  <si>
    <t xml:space="preserve">CAPDEV PROPOSAL (To be filled out by HRDO)</t>
  </si>
  <si>
    <t xml:space="preserve">I. LBP FORM 4 DETAILS (To be filled out by OFFICES)</t>
  </si>
  <si>
    <t xml:space="preserve">II. ACTIVITY DESIGN DETAILS (To be filled out by OFFICES)</t>
  </si>
  <si>
    <t xml:space="preserve">III. BUDGETARY REQUIREMENTS (Fill Color = Obligated/Utilized) (To be filled out by OFFICES)</t>
  </si>
  <si>
    <t xml:space="preserve">IV. DOCUMENT TRACKER DETAILS (To be filled out by OFFICES)</t>
  </si>
  <si>
    <t xml:space="preserve">V. TERMINAL REPORT DETAILS (To be filled out by OFFICES)</t>
  </si>
  <si>
    <t xml:space="preserve">VI. ATTACHMENT (To be filled out by OFFICES)</t>
  </si>
  <si>
    <t xml:space="preserve">HRDO RATING PRE-IMPLEMENTATION</t>
  </si>
  <si>
    <t xml:space="preserve">HRDO RATING DURING-IMPLEMENTATION</t>
  </si>
  <si>
    <t xml:space="preserve">HRDO RATING POST-IMPLEMENTATION</t>
  </si>
  <si>
    <t xml:space="preserve">AVERAGE ACTIVITY RATING</t>
  </si>
  <si>
    <t xml:space="preserve">HRDO</t>
  </si>
  <si>
    <t xml:space="preserve">DOC. NO.</t>
  </si>
  <si>
    <t xml:space="preserve">SOURCE OF BUDGET</t>
  </si>
  <si>
    <t xml:space="preserve">SECTOR</t>
  </si>
  <si>
    <t xml:space="preserve">OFFICE</t>
  </si>
  <si>
    <t xml:space="preserve">AIP REFERENCE CODE</t>
  </si>
  <si>
    <t xml:space="preserve">ACTIVITY</t>
  </si>
  <si>
    <t xml:space="preserve">AMOUNT</t>
  </si>
  <si>
    <t xml:space="preserve">AIP - LEARNING &amp; DEVELOPMENT INTERVENTIONS</t>
  </si>
  <si>
    <t xml:space="preserve">CURRENT STATE</t>
  </si>
  <si>
    <t xml:space="preserve">DESIRED STATE</t>
  </si>
  <si>
    <t xml:space="preserve">MAJOR FINAL OUTPUT</t>
  </si>
  <si>
    <t xml:space="preserve">PERFORMANCE / OUTPUT INDICATOR</t>
  </si>
  <si>
    <t xml:space="preserve">TARGET FOR THE BUDGET YEAR</t>
  </si>
  <si>
    <t xml:space="preserve">TARGET DATE OF COMPLETION</t>
  </si>
  <si>
    <t xml:space="preserve">TITLE</t>
  </si>
  <si>
    <t xml:space="preserve">VENUE</t>
  </si>
  <si>
    <t xml:space="preserve">ACTIVITY CATEGORY</t>
  </si>
  <si>
    <t xml:space="preserve">BATCH</t>
  </si>
  <si>
    <t xml:space="preserve">FIRST LEVEL (MALE)</t>
  </si>
  <si>
    <t xml:space="preserve">FIRST LEVEL (FEMALE)</t>
  </si>
  <si>
    <t xml:space="preserve">SECOND LEVEL (MALE)</t>
  </si>
  <si>
    <t xml:space="preserve">SECOND LEVEL (FEMALE)</t>
  </si>
  <si>
    <t xml:space="preserve">PARTICIPANTS PARTICULARS</t>
  </si>
  <si>
    <t xml:space="preserve">IMPLEMENTATION DATE FROM</t>
  </si>
  <si>
    <t xml:space="preserve">IMPLEMENTATION DATE END</t>
  </si>
  <si>
    <t xml:space="preserve">RATIONALE</t>
  </si>
  <si>
    <t xml:space="preserve">METHODOLOGY</t>
  </si>
  <si>
    <t xml:space="preserve">PERFORMANCE OBJECTIVES</t>
  </si>
  <si>
    <t xml:space="preserve">LEARNING OBJECTIVES</t>
  </si>
  <si>
    <t xml:space="preserve">COURSE CONTENT</t>
  </si>
  <si>
    <t xml:space="preserve">LEASE OF VENUE / ACCOMMODATION</t>
  </si>
  <si>
    <t xml:space="preserve">CITY-OWNED</t>
  </si>
  <si>
    <t xml:space="preserve">SUPPLIES</t>
  </si>
  <si>
    <t xml:space="preserve">REGISTRATION FEE</t>
  </si>
  <si>
    <t xml:space="preserve">HONORARIUM</t>
  </si>
  <si>
    <t xml:space="preserve">TRANSPO EXPENSE</t>
  </si>
  <si>
    <t xml:space="preserve">DTE/DSA</t>
  </si>
  <si>
    <t xml:space="preserve">AIRFARE</t>
  </si>
  <si>
    <t xml:space="preserve">FOOD</t>
  </si>
  <si>
    <t xml:space="preserve">INCIDENTAL EXPENSE</t>
  </si>
  <si>
    <t xml:space="preserve">TOTAL AMOUNT</t>
  </si>
  <si>
    <t xml:space="preserve">OBLIGATED</t>
  </si>
  <si>
    <t xml:space="preserve">UTILIZED</t>
  </si>
  <si>
    <t xml:space="preserve">EXPENSE PER PAX</t>
  </si>
  <si>
    <t xml:space="preserve">PRESENT MALE</t>
  </si>
  <si>
    <t xml:space="preserve">PRESENT FEMALE</t>
  </si>
  <si>
    <t xml:space="preserve">NO. OF ABSENCES</t>
  </si>
  <si>
    <t xml:space="preserve">EXPENSE LOSS</t>
  </si>
  <si>
    <t xml:space="preserve">ATTENDANCE BREAKDOWN</t>
  </si>
  <si>
    <t xml:space="preserve">OBJECTIVE ACHIEVEMENT RATE</t>
  </si>
  <si>
    <t xml:space="preserve">PRE/POST TEST IMPROVEMENT RATE</t>
  </si>
  <si>
    <t xml:space="preserve">ATTACH PRE/POST TEST LINK ACCESS</t>
  </si>
  <si>
    <t xml:space="preserve">SME EVALUATION</t>
  </si>
  <si>
    <t xml:space="preserve">TRAINING EVALUATION</t>
  </si>
  <si>
    <t xml:space="preserve">ACTIVITY OBJECTIVES</t>
  </si>
  <si>
    <t xml:space="preserve">SUMMARY OF PARTICIPANTS' EVALUATION</t>
  </si>
  <si>
    <t xml:space="preserve">QUALITATIVE HIGHLIGHTS</t>
  </si>
  <si>
    <t xml:space="preserve">LESSONS LEARNED / BEST PRACTICES</t>
  </si>
  <si>
    <t xml:space="preserve">ISSUES AND CHALLENGES</t>
  </si>
  <si>
    <t xml:space="preserve">RECOMMENDATIONS AND NEXT STEPS</t>
  </si>
  <si>
    <t xml:space="preserve">ACTIVITY HIGHLIGHTS</t>
  </si>
  <si>
    <t xml:space="preserve">ATTACH ACTIVITY DESIGN</t>
  </si>
  <si>
    <t xml:space="preserve">ACTIVITY DESIGN APPROVAL DATE</t>
  </si>
  <si>
    <t xml:space="preserve">ATTACH OBR</t>
  </si>
  <si>
    <t xml:space="preserve">OBR DATE</t>
  </si>
  <si>
    <t xml:space="preserve">ATTACH TRAINING ORDER</t>
  </si>
  <si>
    <t xml:space="preserve">TRAINING ORDER DATE</t>
  </si>
  <si>
    <t xml:space="preserve">ATTACH TERMINAL REPORT</t>
  </si>
  <si>
    <t xml:space="preserve">TERMINAL REPORT SUBMISSION DATE</t>
  </si>
  <si>
    <t xml:space="preserve">ATTACH LIQUIDATION REPORT FROM ACCOUNTING</t>
  </si>
  <si>
    <t xml:space="preserve">DATE</t>
  </si>
  <si>
    <t xml:space="preserve">REMARKS / NOTES</t>
  </si>
  <si>
    <t xml:space="preserve">QUALITY</t>
  </si>
  <si>
    <t xml:space="preserve">EFFICIENCY</t>
  </si>
  <si>
    <t xml:space="preserve">TIMELINESS</t>
  </si>
  <si>
    <t xml:space="preserve">TOTAL</t>
  </si>
  <si>
    <t xml:space="preserve">CD-2026-001</t>
  </si>
  <si>
    <t xml:space="preserve">GENERAL FUND</t>
  </si>
  <si>
    <t xml:space="preserve">Social-Education</t>
  </si>
  <si>
    <t xml:space="preserve">PLP</t>
  </si>
  <si>
    <t xml:space="preserve">3000-001-2-3-21-006-001</t>
  </si>
  <si>
    <t xml:space="preserve">Strategic Planning Workshop</t>
  </si>
  <si>
    <t xml:space="preserve">3000-001-2-3-21-006-001 6.1. Strategic Planning (Attributed to HRDO 200,000)</t>
  </si>
  <si>
    <t xml:space="preserve">Staff lack structured strategic planning skills</t>
  </si>
  <si>
    <t xml:space="preserve">Staff able to independently draft strategic plans</t>
  </si>
  <si>
    <t xml:space="preserve">Improved Office Planning Output</t>
  </si>
  <si>
    <t xml:space="preserve">% of offices submitting strategic plans on time</t>
  </si>
  <si>
    <t xml:space="preserve">100%</t>
  </si>
  <si>
    <t xml:space="preserve">2026-03-31</t>
  </si>
  <si>
    <t xml:space="preserve">Strategic Planning Workshop 2026</t>
  </si>
  <si>
    <t xml:space="preserve">City Hall Function Room</t>
  </si>
  <si>
    <t xml:space="preserve">Workshop</t>
  </si>
  <si>
    <t xml:space="preserve">Batch 1</t>
  </si>
  <si>
    <t xml:space="preserve">8 participants (Div Chiefs &amp; Supervisors)</t>
  </si>
  <si>
    <t xml:space="preserve">2026-03-10</t>
  </si>
  <si>
    <t xml:space="preserve">2026-03-12</t>
  </si>
  <si>
    <t xml:space="preserve">Improve strategic planning capability of division heads</t>
  </si>
  <si>
    <t xml:space="preserve">Lecture, workshop, group output</t>
  </si>
  <si>
    <t xml:space="preserve">Participants can draft a 3-year strategic plan</t>
  </si>
  <si>
    <t xml:space="preserve">Understand SWOT, OKRs, and strategy mapping</t>
  </si>
  <si>
    <t xml:space="preserve">Strategic planning frameworks, SWOT, OKR setting, action planning</t>
  </si>
  <si>
    <t xml:space="preserve">No</t>
  </si>
  <si>
    <t xml:space="preserve">13 of 14 present</t>
  </si>
  <si>
    <t xml:space="preserve">92%</t>
  </si>
  <si>
    <t xml:space="preserve">18%</t>
  </si>
  <si>
    <t xml:space="preserve">https://example.com/prepost-link</t>
  </si>
  <si>
    <t xml:space="preserve">4.5/5</t>
  </si>
  <si>
    <t xml:space="preserve">4.6/5</t>
  </si>
  <si>
    <t xml:space="preserve">Equip division heads with strategic planning tools</t>
  </si>
  <si>
    <t xml:space="preserve">Participants rated the workshop highly relevant</t>
  </si>
  <si>
    <t xml:space="preserve">Strong engagement during group workshops</t>
  </si>
  <si>
    <t xml:space="preserve">Hands-on exercises worked better than lecture-only sessions</t>
  </si>
  <si>
    <t xml:space="preserve">One participant absent due to conflicting schedule</t>
  </si>
  <si>
    <t xml:space="preserve">Conduct a follow-up coaching session after 3 months</t>
  </si>
  <si>
    <t xml:space="preserve">Kick-off talk, SWOT breakout, action plan presentation</t>
  </si>
  <si>
    <t xml:space="preserve">https://example.com/activity-design.pdf</t>
  </si>
  <si>
    <t xml:space="preserve">2026-02-20</t>
  </si>
  <si>
    <t xml:space="preserve">https://example.com/obr.pdf</t>
  </si>
  <si>
    <t xml:space="preserve">2026-02-25</t>
  </si>
  <si>
    <t xml:space="preserve">https://example.com/training-order.pdf</t>
  </si>
  <si>
    <t xml:space="preserve">2026-02-28</t>
  </si>
  <si>
    <t xml:space="preserve">https://example.com/terminal-report.pdf</t>
  </si>
  <si>
    <t xml:space="preserve">2026-03-20</t>
  </si>
  <si>
    <t xml:space="preserve">https://example.com/liquidation.pdf</t>
  </si>
  <si>
    <t xml:space="preserve">2026-03-25</t>
  </si>
  <si>
    <t xml:space="preserve">Sample entry for format verification only</t>
  </si>
  <si>
    <t xml:space="preserve">Sample narrative/analysis cell (HRDO fills after review)</t>
  </si>
  <si>
    <t xml:space="preserve">Row</t>
  </si>
  <si>
    <t xml:space="preserve">What it contains</t>
  </si>
  <si>
    <t xml:space="preserve">Row 1</t>
  </si>
  <si>
    <t xml:space="preserve">Report title (B1) + "To be filled out by HRDO" flag (BU1:CI1)</t>
  </si>
  <si>
    <t xml:space="preserve">Row 2</t>
  </si>
  <si>
    <t xml:space="preserve">Section headers — merged column groups (e.g. B2:I2 = CAPACITY DEVELOPMENT)</t>
  </si>
  <si>
    <t xml:space="preserve">Row 3</t>
  </si>
  <si>
    <t xml:space="preserve">Individual column field labels, one per column</t>
  </si>
  <si>
    <t xml:space="preserve">Row 4+</t>
  </si>
  <si>
    <t xml:space="preserve">Actual data rows — one row per CapDev activity</t>
  </si>
  <si>
    <t xml:space="preserve">Section (Row 2)</t>
  </si>
  <si>
    <t xml:space="preserve">Column range</t>
  </si>
  <si>
    <t xml:space="preserve">B2:I2</t>
  </si>
  <si>
    <t xml:space="preserve">CAPDEV PROPOSAL (HRDO)</t>
  </si>
  <si>
    <t xml:space="preserve">J2:K2</t>
  </si>
  <si>
    <t xml:space="preserve">I. LBP FORM 4 DETAILS (Offices)</t>
  </si>
  <si>
    <t xml:space="preserve">L2:O2</t>
  </si>
  <si>
    <t xml:space="preserve">II. ACTIVITY DESIGN DETAILS (Offices)</t>
  </si>
  <si>
    <t xml:space="preserve">P2:AE2</t>
  </si>
  <si>
    <t xml:space="preserve">III. BUDGETARY REQUIREMENTS (Offices)</t>
  </si>
  <si>
    <t xml:space="preserve">AF2:AR2</t>
  </si>
  <si>
    <t xml:space="preserve">IV. DOCUMENT TRACKER DETAILS (Offices)</t>
  </si>
  <si>
    <t xml:space="preserve">AS2:BC2</t>
  </si>
  <si>
    <t xml:space="preserve">V. TERMINAL REPORT DETAILS (Offices)</t>
  </si>
  <si>
    <t xml:space="preserve">BD2:BJ2</t>
  </si>
  <si>
    <t xml:space="preserve">VI. ATTACHMENT (Offices)</t>
  </si>
  <si>
    <t xml:space="preserve">BK2:BT2</t>
  </si>
  <si>
    <t xml:space="preserve">BV2:BX2</t>
  </si>
  <si>
    <t xml:space="preserve">BY2:CA2</t>
  </si>
  <si>
    <t xml:space="preserve">CB2:CD2</t>
  </si>
  <si>
    <t xml:space="preserve">CE2:CH2</t>
  </si>
  <si>
    <t xml:space="preserve">HRDO Analysis</t>
  </si>
  <si>
    <t xml:space="preserve">CI2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</si>
</sst>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47D45A"/>
        <bgColor rgb="FF93C47D"/>
      </patternFill>
    </fill>
    <fill>
      <patternFill patternType="solid">
        <fgColor rgb="FFC1E4F5"/>
        <bgColor rgb="FFCCFFFF"/>
      </patternFill>
    </fill>
    <fill>
      <patternFill patternType="solid">
        <fgColor rgb="FFA6C9EB"/>
        <bgColor rgb="FFA4C2F4"/>
      </patternFill>
    </fill>
    <fill>
      <patternFill patternType="solid">
        <fgColor rgb="FF45B0E1"/>
        <bgColor rgb="FF4D94D8"/>
      </patternFill>
    </fill>
    <fill>
      <patternFill patternType="solid">
        <fgColor rgb="FF4D94D8"/>
        <bgColor rgb="FF45B0E1"/>
      </patternFill>
    </fill>
    <fill>
      <patternFill patternType="solid">
        <fgColor rgb="FF215E99"/>
        <bgColor rgb="FF074F6A"/>
      </patternFill>
    </fill>
    <fill>
      <patternFill patternType="solid">
        <fgColor rgb="FF074F6A"/>
        <bgColor rgb="FF215E99"/>
      </patternFill>
    </fill>
    <fill>
      <patternFill patternType="solid">
        <fgColor rgb="FFA4C2F4"/>
        <bgColor rgb="FFA6C9EB"/>
      </patternFill>
    </fill>
    <fill>
      <patternFill patternType="solid">
        <fgColor rgb="FFF9CB9C"/>
        <bgColor rgb="FFFFF2CC"/>
      </patternFill>
    </fill>
    <fill>
      <patternFill patternType="solid">
        <fgColor rgb="FF93C47D"/>
        <bgColor rgb="FF99999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/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4C2F4"/>
      <rgbColor rgb="FF808080"/>
      <rgbColor rgb="FF9999FF"/>
      <rgbColor rgb="FF993366"/>
      <rgbColor rgb="FFFFF2CC"/>
      <rgbColor rgb="FFCCFFFF"/>
      <rgbColor rgb="FF660066"/>
      <rgbColor rgb="FFFF8080"/>
      <rgbColor rgb="FF215E99"/>
      <rgbColor rgb="FFC1E4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6C9EB"/>
      <rgbColor rgb="FFFF99CC"/>
      <rgbColor rgb="FFCC99FF"/>
      <rgbColor rgb="FFF9CB9C"/>
      <rgbColor rgb="FF4D94D8"/>
      <rgbColor rgb="FF45B0E1"/>
      <rgbColor rgb="FF93C47D"/>
      <rgbColor rgb="FFFFCC00"/>
      <rgbColor rgb="FFFF9900"/>
      <rgbColor rgb="FFFF6600"/>
      <rgbColor rgb="FF666699"/>
      <rgbColor rgb="FF999999"/>
      <rgbColor rgb="FF074F6A"/>
      <rgbColor rgb="FF47D45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I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2"/>
    <col collapsed="false" customWidth="true" hidden="false" outlineLevel="0" max="87" min="3" style="0" width="14"/>
  </cols>
  <sheetData>
    <row r="1" customFormat="false" ht="30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2" t="s">
        <v>1</v>
      </c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</row>
    <row r="2" customFormat="false" ht="30" hidden="false" customHeight="true" outlineLevel="0" collapsed="false">
      <c r="B2" s="3" t="s">
        <v>2</v>
      </c>
      <c r="C2" s="3"/>
      <c r="D2" s="3"/>
      <c r="E2" s="3"/>
      <c r="F2" s="3"/>
      <c r="G2" s="3"/>
      <c r="H2" s="3"/>
      <c r="I2" s="3"/>
      <c r="J2" s="4" t="s">
        <v>3</v>
      </c>
      <c r="K2" s="4"/>
      <c r="L2" s="5" t="s">
        <v>4</v>
      </c>
      <c r="M2" s="5"/>
      <c r="N2" s="5"/>
      <c r="O2" s="5"/>
      <c r="P2" s="6" t="s">
        <v>5</v>
      </c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7" t="s">
        <v>6</v>
      </c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8" t="s">
        <v>7</v>
      </c>
      <c r="AT2" s="8"/>
      <c r="AU2" s="8"/>
      <c r="AV2" s="8"/>
      <c r="AW2" s="8"/>
      <c r="AX2" s="8"/>
      <c r="AY2" s="8"/>
      <c r="AZ2" s="8"/>
      <c r="BA2" s="8"/>
      <c r="BB2" s="8"/>
      <c r="BC2" s="8"/>
      <c r="BD2" s="9" t="s">
        <v>8</v>
      </c>
      <c r="BE2" s="9"/>
      <c r="BF2" s="9"/>
      <c r="BG2" s="9"/>
      <c r="BH2" s="9"/>
      <c r="BI2" s="9"/>
      <c r="BJ2" s="9"/>
      <c r="BK2" s="10" t="s">
        <v>9</v>
      </c>
      <c r="BL2" s="10"/>
      <c r="BM2" s="10"/>
      <c r="BN2" s="10"/>
      <c r="BO2" s="10"/>
      <c r="BP2" s="10"/>
      <c r="BQ2" s="10"/>
      <c r="BR2" s="10"/>
      <c r="BS2" s="10"/>
      <c r="BT2" s="10"/>
      <c r="BV2" s="4" t="s">
        <v>10</v>
      </c>
      <c r="BW2" s="4"/>
      <c r="BX2" s="4"/>
      <c r="BY2" s="4" t="s">
        <v>11</v>
      </c>
      <c r="BZ2" s="4"/>
      <c r="CA2" s="4"/>
      <c r="CB2" s="4" t="s">
        <v>12</v>
      </c>
      <c r="CC2" s="4"/>
      <c r="CD2" s="4"/>
      <c r="CE2" s="4" t="s">
        <v>13</v>
      </c>
      <c r="CF2" s="4"/>
      <c r="CG2" s="4"/>
      <c r="CH2" s="4"/>
      <c r="CI2" s="11" t="s">
        <v>14</v>
      </c>
    </row>
    <row r="3" customFormat="false" ht="45" hidden="false" customHeight="true" outlineLevel="0" collapsed="false">
      <c r="B3" s="12" t="s">
        <v>15</v>
      </c>
      <c r="C3" s="12" t="s">
        <v>16</v>
      </c>
      <c r="D3" s="12" t="s">
        <v>17</v>
      </c>
      <c r="E3" s="12" t="s">
        <v>18</v>
      </c>
      <c r="F3" s="12" t="s">
        <v>19</v>
      </c>
      <c r="G3" s="12" t="s">
        <v>20</v>
      </c>
      <c r="H3" s="12" t="s">
        <v>21</v>
      </c>
      <c r="I3" s="12" t="s">
        <v>22</v>
      </c>
      <c r="J3" s="13" t="s">
        <v>23</v>
      </c>
      <c r="K3" s="13" t="s">
        <v>24</v>
      </c>
      <c r="L3" s="12" t="s">
        <v>25</v>
      </c>
      <c r="M3" s="12" t="s">
        <v>26</v>
      </c>
      <c r="N3" s="12" t="s">
        <v>27</v>
      </c>
      <c r="O3" s="12" t="s">
        <v>28</v>
      </c>
      <c r="P3" s="12" t="s">
        <v>29</v>
      </c>
      <c r="Q3" s="12" t="s">
        <v>30</v>
      </c>
      <c r="R3" s="12" t="s">
        <v>31</v>
      </c>
      <c r="S3" s="12" t="s">
        <v>32</v>
      </c>
      <c r="T3" s="12" t="s">
        <v>33</v>
      </c>
      <c r="U3" s="12" t="s">
        <v>34</v>
      </c>
      <c r="V3" s="12" t="s">
        <v>35</v>
      </c>
      <c r="W3" s="12" t="s">
        <v>36</v>
      </c>
      <c r="X3" s="12" t="s">
        <v>37</v>
      </c>
      <c r="Y3" s="12" t="s">
        <v>38</v>
      </c>
      <c r="Z3" s="12" t="s">
        <v>39</v>
      </c>
      <c r="AA3" s="12" t="s">
        <v>40</v>
      </c>
      <c r="AB3" s="12" t="s">
        <v>41</v>
      </c>
      <c r="AC3" s="12" t="s">
        <v>42</v>
      </c>
      <c r="AD3" s="12" t="s">
        <v>43</v>
      </c>
      <c r="AE3" s="12" t="s">
        <v>44</v>
      </c>
      <c r="AF3" s="12" t="s">
        <v>45</v>
      </c>
      <c r="AG3" s="12" t="s">
        <v>46</v>
      </c>
      <c r="AH3" s="12" t="s">
        <v>47</v>
      </c>
      <c r="AI3" s="12" t="s">
        <v>48</v>
      </c>
      <c r="AJ3" s="12" t="s">
        <v>49</v>
      </c>
      <c r="AK3" s="12" t="s">
        <v>50</v>
      </c>
      <c r="AL3" s="12" t="s">
        <v>51</v>
      </c>
      <c r="AM3" s="12" t="s">
        <v>52</v>
      </c>
      <c r="AN3" s="12" t="s">
        <v>53</v>
      </c>
      <c r="AO3" s="12" t="s">
        <v>54</v>
      </c>
      <c r="AP3" s="12" t="s">
        <v>55</v>
      </c>
      <c r="AQ3" s="14" t="s">
        <v>56</v>
      </c>
      <c r="AR3" s="15" t="s">
        <v>57</v>
      </c>
      <c r="AS3" s="12" t="s">
        <v>58</v>
      </c>
      <c r="AT3" s="12" t="s">
        <v>59</v>
      </c>
      <c r="AU3" s="12" t="s">
        <v>60</v>
      </c>
      <c r="AV3" s="12" t="s">
        <v>61</v>
      </c>
      <c r="AW3" s="12" t="s">
        <v>62</v>
      </c>
      <c r="AX3" s="12" t="s">
        <v>63</v>
      </c>
      <c r="AY3" s="12" t="s">
        <v>64</v>
      </c>
      <c r="AZ3" s="12" t="s">
        <v>65</v>
      </c>
      <c r="BA3" s="12" t="s">
        <v>66</v>
      </c>
      <c r="BB3" s="12" t="s">
        <v>67</v>
      </c>
      <c r="BC3" s="12" t="s">
        <v>68</v>
      </c>
      <c r="BD3" s="12" t="s">
        <v>69</v>
      </c>
      <c r="BE3" s="12" t="s">
        <v>70</v>
      </c>
      <c r="BF3" s="12" t="s">
        <v>71</v>
      </c>
      <c r="BG3" s="12" t="s">
        <v>72</v>
      </c>
      <c r="BH3" s="12" t="s">
        <v>73</v>
      </c>
      <c r="BI3" s="12" t="s">
        <v>74</v>
      </c>
      <c r="BJ3" s="12" t="s">
        <v>75</v>
      </c>
      <c r="BK3" s="12" t="s">
        <v>76</v>
      </c>
      <c r="BL3" s="12" t="s">
        <v>77</v>
      </c>
      <c r="BM3" s="12" t="s">
        <v>78</v>
      </c>
      <c r="BN3" s="12" t="s">
        <v>79</v>
      </c>
      <c r="BO3" s="12" t="s">
        <v>80</v>
      </c>
      <c r="BP3" s="12" t="s">
        <v>81</v>
      </c>
      <c r="BQ3" s="12" t="s">
        <v>82</v>
      </c>
      <c r="BR3" s="12" t="s">
        <v>83</v>
      </c>
      <c r="BS3" s="12" t="s">
        <v>84</v>
      </c>
      <c r="BT3" s="12" t="s">
        <v>85</v>
      </c>
      <c r="BU3" s="13" t="s">
        <v>86</v>
      </c>
      <c r="BV3" s="13" t="s">
        <v>87</v>
      </c>
      <c r="BW3" s="13" t="s">
        <v>88</v>
      </c>
      <c r="BX3" s="13" t="s">
        <v>89</v>
      </c>
      <c r="BY3" s="13" t="s">
        <v>87</v>
      </c>
      <c r="BZ3" s="13" t="s">
        <v>88</v>
      </c>
      <c r="CA3" s="13" t="s">
        <v>89</v>
      </c>
      <c r="CB3" s="13" t="s">
        <v>87</v>
      </c>
      <c r="CC3" s="13" t="s">
        <v>88</v>
      </c>
      <c r="CD3" s="13" t="s">
        <v>89</v>
      </c>
      <c r="CE3" s="13" t="s">
        <v>87</v>
      </c>
      <c r="CF3" s="13" t="s">
        <v>88</v>
      </c>
      <c r="CG3" s="13" t="s">
        <v>89</v>
      </c>
      <c r="CH3" s="13" t="s">
        <v>90</v>
      </c>
      <c r="CI3" s="11"/>
    </row>
    <row r="4" customFormat="false" ht="60" hidden="false" customHeight="true" outlineLevel="0" collapsed="false">
      <c r="B4" s="16" t="s">
        <v>91</v>
      </c>
      <c r="C4" s="16" t="s">
        <v>92</v>
      </c>
      <c r="D4" s="16" t="s">
        <v>93</v>
      </c>
      <c r="E4" s="16" t="s">
        <v>94</v>
      </c>
      <c r="F4" s="16" t="s">
        <v>95</v>
      </c>
      <c r="G4" s="16" t="s">
        <v>96</v>
      </c>
      <c r="H4" s="16" t="n">
        <v>200000</v>
      </c>
      <c r="I4" s="16" t="s">
        <v>97</v>
      </c>
      <c r="J4" s="16" t="s">
        <v>98</v>
      </c>
      <c r="K4" s="16" t="s">
        <v>99</v>
      </c>
      <c r="L4" s="16" t="s">
        <v>100</v>
      </c>
      <c r="M4" s="16" t="s">
        <v>101</v>
      </c>
      <c r="N4" s="16" t="s">
        <v>102</v>
      </c>
      <c r="O4" s="16" t="s">
        <v>103</v>
      </c>
      <c r="P4" s="16" t="s">
        <v>104</v>
      </c>
      <c r="Q4" s="16" t="s">
        <v>105</v>
      </c>
      <c r="R4" s="16" t="s">
        <v>106</v>
      </c>
      <c r="S4" s="16" t="s">
        <v>107</v>
      </c>
      <c r="T4" s="16" t="n">
        <v>2</v>
      </c>
      <c r="U4" s="16" t="n">
        <v>3</v>
      </c>
      <c r="V4" s="16" t="n">
        <v>1</v>
      </c>
      <c r="W4" s="16" t="n">
        <v>2</v>
      </c>
      <c r="X4" s="16" t="s">
        <v>108</v>
      </c>
      <c r="Y4" s="16" t="s">
        <v>109</v>
      </c>
      <c r="Z4" s="16" t="s">
        <v>110</v>
      </c>
      <c r="AA4" s="16" t="s">
        <v>111</v>
      </c>
      <c r="AB4" s="16" t="s">
        <v>112</v>
      </c>
      <c r="AC4" s="16" t="s">
        <v>113</v>
      </c>
      <c r="AD4" s="16" t="s">
        <v>114</v>
      </c>
      <c r="AE4" s="16" t="s">
        <v>115</v>
      </c>
      <c r="AF4" s="16" t="n">
        <v>30000</v>
      </c>
      <c r="AG4" s="16" t="s">
        <v>116</v>
      </c>
      <c r="AH4" s="16" t="n">
        <v>5000</v>
      </c>
      <c r="AI4" s="16" t="n">
        <v>0</v>
      </c>
      <c r="AJ4" s="16" t="n">
        <v>15000</v>
      </c>
      <c r="AK4" s="16" t="n">
        <v>3000</v>
      </c>
      <c r="AL4" s="16" t="n">
        <v>10000</v>
      </c>
      <c r="AM4" s="16" t="n">
        <v>0</v>
      </c>
      <c r="AN4" s="16" t="n">
        <v>20000</v>
      </c>
      <c r="AO4" s="16" t="n">
        <v>2000</v>
      </c>
      <c r="AQ4" s="16" t="n">
        <v>80000</v>
      </c>
      <c r="AR4" s="16" t="n">
        <v>78000</v>
      </c>
      <c r="AS4" s="16" t="n">
        <v>9750</v>
      </c>
      <c r="AT4" s="16" t="n">
        <v>6</v>
      </c>
      <c r="AU4" s="16" t="n">
        <v>7</v>
      </c>
      <c r="AV4" s="16" t="n">
        <v>1</v>
      </c>
      <c r="AW4" s="16" t="n">
        <v>9750</v>
      </c>
      <c r="AX4" s="16" t="s">
        <v>117</v>
      </c>
      <c r="AY4" s="16" t="s">
        <v>118</v>
      </c>
      <c r="AZ4" s="16" t="s">
        <v>119</v>
      </c>
      <c r="BA4" s="16" t="s">
        <v>120</v>
      </c>
      <c r="BB4" s="16" t="s">
        <v>121</v>
      </c>
      <c r="BC4" s="16" t="s">
        <v>122</v>
      </c>
      <c r="BD4" s="16" t="s">
        <v>123</v>
      </c>
      <c r="BE4" s="16" t="s">
        <v>124</v>
      </c>
      <c r="BF4" s="16" t="s">
        <v>125</v>
      </c>
      <c r="BG4" s="16" t="s">
        <v>126</v>
      </c>
      <c r="BH4" s="16" t="s">
        <v>127</v>
      </c>
      <c r="BI4" s="16" t="s">
        <v>128</v>
      </c>
      <c r="BJ4" s="16" t="s">
        <v>129</v>
      </c>
      <c r="BK4" s="16" t="s">
        <v>130</v>
      </c>
      <c r="BL4" s="16" t="s">
        <v>131</v>
      </c>
      <c r="BM4" s="16" t="s">
        <v>132</v>
      </c>
      <c r="BN4" s="16" t="s">
        <v>133</v>
      </c>
      <c r="BO4" s="16" t="s">
        <v>134</v>
      </c>
      <c r="BP4" s="16" t="s">
        <v>135</v>
      </c>
      <c r="BQ4" s="16" t="s">
        <v>136</v>
      </c>
      <c r="BR4" s="16" t="s">
        <v>137</v>
      </c>
      <c r="BS4" s="16" t="s">
        <v>138</v>
      </c>
      <c r="BT4" s="16" t="s">
        <v>139</v>
      </c>
      <c r="BU4" s="16" t="s">
        <v>140</v>
      </c>
      <c r="BV4" s="16" t="n">
        <v>4</v>
      </c>
      <c r="BW4" s="16" t="n">
        <v>4</v>
      </c>
      <c r="BX4" s="16" t="n">
        <v>5</v>
      </c>
      <c r="BY4" s="16" t="n">
        <v>4</v>
      </c>
      <c r="BZ4" s="16" t="n">
        <v>4</v>
      </c>
      <c r="CA4" s="16" t="n">
        <v>4</v>
      </c>
      <c r="CB4" s="16" t="n">
        <v>5</v>
      </c>
      <c r="CC4" s="16" t="n">
        <v>4</v>
      </c>
      <c r="CD4" s="16" t="n">
        <v>5</v>
      </c>
      <c r="CE4" s="17" t="n">
        <f aca="false">AVERAGE(BV4,BY4,CB4)</f>
        <v>4.33333333333333</v>
      </c>
      <c r="CF4" s="17" t="n">
        <f aca="false">AVERAGE(BW4,BZ4,CC4)</f>
        <v>4</v>
      </c>
      <c r="CG4" s="17" t="n">
        <f aca="false">AVERAGE(BX4,CA4,CD4)</f>
        <v>4.66666666666667</v>
      </c>
      <c r="CH4" s="17" t="n">
        <f aca="false">SUM(CE4:CG4)</f>
        <v>13</v>
      </c>
      <c r="CI4" s="16" t="s">
        <v>141</v>
      </c>
    </row>
  </sheetData>
  <mergeCells count="15">
    <mergeCell ref="B1:BT1"/>
    <mergeCell ref="BU1:CI1"/>
    <mergeCell ref="B2:I2"/>
    <mergeCell ref="J2:K2"/>
    <mergeCell ref="L2:O2"/>
    <mergeCell ref="P2:AE2"/>
    <mergeCell ref="AF2:AR2"/>
    <mergeCell ref="AS2:BC2"/>
    <mergeCell ref="BD2:BJ2"/>
    <mergeCell ref="BK2:BT2"/>
    <mergeCell ref="BV2:BX2"/>
    <mergeCell ref="BY2:CA2"/>
    <mergeCell ref="CB2:CD2"/>
    <mergeCell ref="CE2:CH2"/>
    <mergeCell ref="CI2:C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55"/>
  </cols>
  <sheetData>
    <row r="1" customFormat="false" ht="15" hidden="false" customHeight="false" outlineLevel="0" collapsed="false">
      <c r="A1" s="18" t="s">
        <v>142</v>
      </c>
      <c r="B1" s="18" t="s">
        <v>143</v>
      </c>
    </row>
    <row r="2" customFormat="false" ht="15" hidden="false" customHeight="false" outlineLevel="0" collapsed="false">
      <c r="A2" s="19" t="s">
        <v>144</v>
      </c>
      <c r="B2" s="19" t="s">
        <v>145</v>
      </c>
    </row>
    <row r="3" customFormat="false" ht="15" hidden="false" customHeight="false" outlineLevel="0" collapsed="false">
      <c r="A3" s="19" t="s">
        <v>146</v>
      </c>
      <c r="B3" s="19" t="s">
        <v>147</v>
      </c>
    </row>
    <row r="4" customFormat="false" ht="15" hidden="false" customHeight="false" outlineLevel="0" collapsed="false">
      <c r="A4" s="19" t="s">
        <v>148</v>
      </c>
      <c r="B4" s="19" t="s">
        <v>149</v>
      </c>
    </row>
    <row r="5" customFormat="false" ht="15" hidden="false" customHeight="false" outlineLevel="0" collapsed="false">
      <c r="A5" s="19" t="s">
        <v>150</v>
      </c>
      <c r="B5" s="19" t="s">
        <v>151</v>
      </c>
    </row>
    <row r="6" customFormat="false" ht="15" hidden="false" customHeight="false" outlineLevel="0" collapsed="false">
      <c r="A6" s="19"/>
      <c r="B6" s="19"/>
    </row>
    <row r="7" customFormat="false" ht="15" hidden="false" customHeight="false" outlineLevel="0" collapsed="false">
      <c r="A7" s="18" t="s">
        <v>152</v>
      </c>
      <c r="B7" s="18" t="s">
        <v>153</v>
      </c>
    </row>
    <row r="8" customFormat="false" ht="15" hidden="false" customHeight="false" outlineLevel="0" collapsed="false">
      <c r="A8" s="19" t="s">
        <v>2</v>
      </c>
      <c r="B8" s="19" t="s">
        <v>154</v>
      </c>
    </row>
    <row r="9" customFormat="false" ht="15" hidden="false" customHeight="false" outlineLevel="0" collapsed="false">
      <c r="A9" s="19" t="s">
        <v>155</v>
      </c>
      <c r="B9" s="19" t="s">
        <v>156</v>
      </c>
    </row>
    <row r="10" customFormat="false" ht="15" hidden="false" customHeight="false" outlineLevel="0" collapsed="false">
      <c r="A10" s="19" t="s">
        <v>157</v>
      </c>
      <c r="B10" s="19" t="s">
        <v>158</v>
      </c>
    </row>
    <row r="11" customFormat="false" ht="15" hidden="false" customHeight="false" outlineLevel="0" collapsed="false">
      <c r="A11" s="19" t="s">
        <v>159</v>
      </c>
      <c r="B11" s="19" t="s">
        <v>160</v>
      </c>
    </row>
    <row r="12" customFormat="false" ht="15" hidden="false" customHeight="false" outlineLevel="0" collapsed="false">
      <c r="A12" s="19" t="s">
        <v>161</v>
      </c>
      <c r="B12" s="19" t="s">
        <v>162</v>
      </c>
    </row>
    <row r="13" customFormat="false" ht="15" hidden="false" customHeight="false" outlineLevel="0" collapsed="false">
      <c r="A13" s="19" t="s">
        <v>163</v>
      </c>
      <c r="B13" s="19" t="s">
        <v>164</v>
      </c>
    </row>
    <row r="14" customFormat="false" ht="15" hidden="false" customHeight="false" outlineLevel="0" collapsed="false">
      <c r="A14" s="19" t="s">
        <v>165</v>
      </c>
      <c r="B14" s="19" t="s">
        <v>166</v>
      </c>
    </row>
    <row r="15" customFormat="false" ht="15" hidden="false" customHeight="false" outlineLevel="0" collapsed="false">
      <c r="A15" s="19" t="s">
        <v>167</v>
      </c>
      <c r="B15" s="19" t="s">
        <v>168</v>
      </c>
    </row>
    <row r="16" customFormat="false" ht="15" hidden="false" customHeight="false" outlineLevel="0" collapsed="false">
      <c r="A16" s="19" t="s">
        <v>10</v>
      </c>
      <c r="B16" s="19" t="s">
        <v>169</v>
      </c>
    </row>
    <row r="17" customFormat="false" ht="15" hidden="false" customHeight="false" outlineLevel="0" collapsed="false">
      <c r="A17" s="19" t="s">
        <v>11</v>
      </c>
      <c r="B17" s="19" t="s">
        <v>170</v>
      </c>
    </row>
    <row r="18" customFormat="false" ht="15" hidden="false" customHeight="false" outlineLevel="0" collapsed="false">
      <c r="A18" s="19" t="s">
        <v>12</v>
      </c>
      <c r="B18" s="19" t="s">
        <v>171</v>
      </c>
    </row>
    <row r="19" customFormat="false" ht="15" hidden="false" customHeight="false" outlineLevel="0" collapsed="false">
      <c r="A19" s="19" t="s">
        <v>13</v>
      </c>
      <c r="B19" s="19" t="s">
        <v>172</v>
      </c>
    </row>
    <row r="20" customFormat="false" ht="15" hidden="false" customHeight="false" outlineLevel="0" collapsed="false">
      <c r="A20" s="19" t="s">
        <v>173</v>
      </c>
      <c r="B20" s="19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2026-08-31T13:02:12Z</dcterms:created>
  <dc:creator>openpyxl</dc:creator>
  <dc:description/>
  <dc:language>en-US</dc:language>
  <cp:lastModifiedBy/>
  <dcterms:modified xsi:type="dcterms:W3CDTF">2026-08-31T13:02:12Z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